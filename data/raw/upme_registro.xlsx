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bc6774de959512/Desktop/"/>
    </mc:Choice>
  </mc:AlternateContent>
  <xr:revisionPtr revIDLastSave="486" documentId="8_{5EEA6097-8017-4168-9791-AE3964461B62}" xr6:coauthVersionLast="47" xr6:coauthVersionMax="47" xr10:uidLastSave="{D2B4F3AF-DA72-422B-808A-DB6559CB4517}"/>
  <bookViews>
    <workbookView xWindow="-110" yWindow="-110" windowWidth="19420" windowHeight="11500" tabRatio="601" xr2:uid="{2F4960A4-DC25-4986-B9B2-DB87CB1E995A}"/>
  </bookViews>
  <sheets>
    <sheet name="Informe" sheetId="1" r:id="rId1"/>
  </sheets>
  <definedNames>
    <definedName name="ExternalData_1" localSheetId="0" hidden="1">Informe!$B$3:$O$55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1" l="1"/>
  <c r="B56" i="1"/>
</calcChain>
</file>

<file path=xl/sharedStrings.xml><?xml version="1.0" encoding="utf-8"?>
<sst xmlns="http://schemas.openxmlformats.org/spreadsheetml/2006/main" count="436" uniqueCount="151">
  <si>
    <t>CENTRAL HIDROELÉCTRICA ENCIMADAS</t>
  </si>
  <si>
    <t>LENGUPA 1-LE 1</t>
  </si>
  <si>
    <t>ZONA BANANERA</t>
  </si>
  <si>
    <t>PARQUE EÓLICO CALADIO</t>
  </si>
  <si>
    <t>COLIRRUFA SOLAR</t>
  </si>
  <si>
    <t>ARAUCA</t>
  </si>
  <si>
    <t>CACICUS</t>
  </si>
  <si>
    <t>ARENAL</t>
  </si>
  <si>
    <t>PÉTALO DEL MAGDALENA II GUACAMAYAL</t>
  </si>
  <si>
    <t>PARQUE EÓLICO OFFSHORE VIENTOS ALISIOS</t>
  </si>
  <si>
    <t>CENTRAL HIDROELÉCTRICA A FILO DE AGUA PRT</t>
  </si>
  <si>
    <t>PARQUE SOLAR CHINÚ 350 MW</t>
  </si>
  <si>
    <t>TERMOCAIMAN</t>
  </si>
  <si>
    <t>SAN JORGE FOTOVOLTAICO</t>
  </si>
  <si>
    <t>Columna5</t>
  </si>
  <si>
    <t>Columna4</t>
  </si>
  <si>
    <t>Columna3</t>
  </si>
  <si>
    <t>Columna2</t>
  </si>
  <si>
    <t>Columna1</t>
  </si>
  <si>
    <t>Fecha de entrada en operación</t>
  </si>
  <si>
    <t>Fecha de inicio de construcción</t>
  </si>
  <si>
    <t>Municipio</t>
  </si>
  <si>
    <t>Departamento</t>
  </si>
  <si>
    <t>Capacidad [MW]</t>
  </si>
  <si>
    <t>Tecnología</t>
  </si>
  <si>
    <t>Tipo</t>
  </si>
  <si>
    <t>Fecha límite de validez</t>
  </si>
  <si>
    <t>Fecha Inscripción proyecto</t>
  </si>
  <si>
    <t>Marco normativo 
aplicable</t>
  </si>
  <si>
    <t>Codigo Proyecto</t>
  </si>
  <si>
    <t>PARQUE SOLAR FOTOVOLTAICO MELGAR 180 MW</t>
  </si>
  <si>
    <t>PARQUE SOLAR CÓRDOBA 200MW</t>
  </si>
  <si>
    <t>FASE 2</t>
  </si>
  <si>
    <t>PARQUE SOLAR LA GUACA</t>
  </si>
  <si>
    <t>PARQUE SOLAR EL BÚHO</t>
  </si>
  <si>
    <t>HELICONIA SOLAR</t>
  </si>
  <si>
    <t>PARQUE EOLICO SIRIUS</t>
  </si>
  <si>
    <t>PARQUE SOLAR ARIES</t>
  </si>
  <si>
    <t>BOSQUES SOLARES DE LOS LLANOS 8 Y SU CONEXIÓN A LA SUBESTACIÓN OCOA 115 KV</t>
  </si>
  <si>
    <t>PARQUE SOLAR LA CHOLUPA</t>
  </si>
  <si>
    <t>PARQUE SOLAR LA ZURUMBA</t>
  </si>
  <si>
    <t>PARQUE SOLAR EL BAMBUCO</t>
  </si>
  <si>
    <t>SAHAGUN 400MW</t>
  </si>
  <si>
    <t>PROYECTO HIDROELÉCTRICO MARÍA MULATA</t>
  </si>
  <si>
    <t>FASE 1</t>
  </si>
  <si>
    <t>FV LIZAMA</t>
  </si>
  <si>
    <t>PLANTA TÉRMICA EL TESORITO II 200 MW</t>
  </si>
  <si>
    <t>TUCANCILLO</t>
  </si>
  <si>
    <t>LENGUPA 3-LE 3</t>
  </si>
  <si>
    <t>RUSA 2-RU 2</t>
  </si>
  <si>
    <t>RUSA 1-RU 1</t>
  </si>
  <si>
    <t>TUPES DE 9.9 MW</t>
  </si>
  <si>
    <t>PUEBLO NUEVO</t>
  </si>
  <si>
    <t>MOSQUERA</t>
  </si>
  <si>
    <t>SAN MIGUEL DE SEMA</t>
  </si>
  <si>
    <t>FRONTINO</t>
  </si>
  <si>
    <t>LOS SANTOS</t>
  </si>
  <si>
    <t>SAN JUAN DEL CESAR</t>
  </si>
  <si>
    <t>PUERTO WILCHES</t>
  </si>
  <si>
    <t>VILLAVICENCIO</t>
  </si>
  <si>
    <t>FLANDES</t>
  </si>
  <si>
    <t>HOBO</t>
  </si>
  <si>
    <t>ALTAMIRA</t>
  </si>
  <si>
    <t>PALERMO</t>
  </si>
  <si>
    <t>SITIONUEVO</t>
  </si>
  <si>
    <t>BARRANCABERMEJA</t>
  </si>
  <si>
    <t>AGUADAS</t>
  </si>
  <si>
    <t>PUEBLO RICO</t>
  </si>
  <si>
    <t>LA ESPERANZA</t>
  </si>
  <si>
    <t>MIRAFLORES</t>
  </si>
  <si>
    <t>SANTA CATALINA</t>
  </si>
  <si>
    <t>TAME</t>
  </si>
  <si>
    <t>PEQUEÑA CENTRAL HIDROELÉCTRICA AKUA 3</t>
  </si>
  <si>
    <t>PEQUEÑA CENTRAL HIDROELÉCTRICA AKUA 1</t>
  </si>
  <si>
    <t>SALGAR</t>
  </si>
  <si>
    <t>PARQUE DE GENERACIÓN FOTOVOLTAICO YOPAL DE 19,9 MW</t>
  </si>
  <si>
    <t>CASANARE</t>
  </si>
  <si>
    <t>YOPAL</t>
  </si>
  <si>
    <t>DSE NEIVA</t>
  </si>
  <si>
    <t>NEIVA</t>
  </si>
  <si>
    <t>TOLIMA</t>
  </si>
  <si>
    <t>Resolución UPME No. 749 de 2025</t>
  </si>
  <si>
    <t>Resolución UPME No. 143 de 2016</t>
  </si>
  <si>
    <t>PROYECTO HIDROELÉCTRICO ALEJANDRO LÓPEZ</t>
  </si>
  <si>
    <t>HERES SOL 800 MW</t>
  </si>
  <si>
    <t>PARQUE DE GENERACIÓN FOTOVOLTAICO LA PALOMA DE 40 MW</t>
  </si>
  <si>
    <t>SOLAR VILLAVIEJA 200 MW</t>
  </si>
  <si>
    <t>PROYECTO MINAVIEJA</t>
  </si>
  <si>
    <t>PROYECTO HIDROELÉCTRICO SAN BARTOLOMÉ</t>
  </si>
  <si>
    <t>BOSCONIA</t>
  </si>
  <si>
    <t>VILLAVIEJA</t>
  </si>
  <si>
    <t>CAROLINA</t>
  </si>
  <si>
    <t>REMEDIOS</t>
  </si>
  <si>
    <t>PARQUE DE GENERACIÓN FOTOVOLTAICO LA PRIMAVERA DE 57 MW</t>
  </si>
  <si>
    <t>PCH SALITRE</t>
  </si>
  <si>
    <t>PCH PLANADA</t>
  </si>
  <si>
    <t>PCH PALMAR</t>
  </si>
  <si>
    <t>PARQUE DE GENERACIÓN FOTOVOLTAICO TESALIA DE 80 MW</t>
  </si>
  <si>
    <t>SOLAR</t>
  </si>
  <si>
    <t>HIDRÁULICO</t>
  </si>
  <si>
    <t>CAQUETÁ</t>
  </si>
  <si>
    <t>EL DONCELLO</t>
  </si>
  <si>
    <t>SANTANDER</t>
  </si>
  <si>
    <t>PUENTE NACIONAL</t>
  </si>
  <si>
    <t>HUILA</t>
  </si>
  <si>
    <t>TESALIA</t>
  </si>
  <si>
    <r>
      <t xml:space="preserve">Informe Registro de Proyectos de Generación 
</t>
    </r>
    <r>
      <rPr>
        <sz val="24"/>
        <color theme="1"/>
        <rFont val="Nunito Sans Normal"/>
      </rPr>
      <t>Registros activos con corte a 30 de septiembre de 2026</t>
    </r>
  </si>
  <si>
    <t>TAURUS SOLAR</t>
  </si>
  <si>
    <t>GUACAMAYAL SOLAR 9,9 MW</t>
  </si>
  <si>
    <t>FLANDES SOLAR DE 9,9 MW</t>
  </si>
  <si>
    <t>CENTRAL HIDROELÉCTRICA CAŃAVERAL</t>
  </si>
  <si>
    <t>PEQUEŃA CENTRAL HIDROELÉCTRICA TAME</t>
  </si>
  <si>
    <t>Nombre  del proyecto2</t>
  </si>
  <si>
    <t>Fase</t>
  </si>
  <si>
    <t>Recurso</t>
  </si>
  <si>
    <t>RADIACIÓN SOLAR</t>
  </si>
  <si>
    <t>FOTOVOLTAICO</t>
  </si>
  <si>
    <t>AGUA</t>
  </si>
  <si>
    <t>FILO DE AGUA</t>
  </si>
  <si>
    <t>EÓLICO</t>
  </si>
  <si>
    <t>VIENTO</t>
  </si>
  <si>
    <t>COSTA ADENTRO</t>
  </si>
  <si>
    <t>TÉRMICO</t>
  </si>
  <si>
    <t>GAS NATURAL</t>
  </si>
  <si>
    <t>CICLO ABIERTO</t>
  </si>
  <si>
    <t>COSTA AFUERA</t>
  </si>
  <si>
    <t>SUCRE</t>
  </si>
  <si>
    <t>MAGDALENA</t>
  </si>
  <si>
    <t>ANTIOQUIA</t>
  </si>
  <si>
    <t>CESAR</t>
  </si>
  <si>
    <t>CALDAS</t>
  </si>
  <si>
    <t>CÓRDOBA</t>
  </si>
  <si>
    <t>BOYACÁ</t>
  </si>
  <si>
    <t>CUNDINAMARCA</t>
  </si>
  <si>
    <t>LA GUAJIRA</t>
  </si>
  <si>
    <t>META</t>
  </si>
  <si>
    <t>RISARALDA</t>
  </si>
  <si>
    <t>NORTE DE SANTANDER</t>
  </si>
  <si>
    <t>BOLÍVAR</t>
  </si>
  <si>
    <t>ATLÁNTICO</t>
  </si>
  <si>
    <t>SAN MARCOS</t>
  </si>
  <si>
    <t>YOLOMBÓ</t>
  </si>
  <si>
    <t>CHINCHINÁ</t>
  </si>
  <si>
    <t>CIUDAD BOLÍVAR</t>
  </si>
  <si>
    <t>CHINÚ</t>
  </si>
  <si>
    <t>PUERTO BOYACÁ</t>
  </si>
  <si>
    <t>MONTELÍBANO</t>
  </si>
  <si>
    <t>SAHAGÚN</t>
  </si>
  <si>
    <t>SONSÓN</t>
  </si>
  <si>
    <t>PÁEZ</t>
  </si>
  <si>
    <t>TUBARÁ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</si>
</sst>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Nunito Sans Normal"/>
    </font>
    <font>
      <sz val="24"/>
      <color theme="1"/>
      <name val="Nunito Sans Normal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4" fontId="0" fillId="3" borderId="0" xfId="0" applyNumberForma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14" fontId="1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4" fontId="0" fillId="0" borderId="0" xfId="1" applyNumberFormat="1" applyFont="1" applyAlignment="1">
      <alignment horizontal="center"/>
    </xf>
    <xf numFmtId="14" fontId="0" fillId="4" borderId="0" xfId="0" applyNumberForma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4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m/d/yyyy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</dxf>
    <dxf>
      <numFmt numFmtId="19" formatCode="d/mm/yyyy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/mm/yyyy"/>
      <alignment horizontal="center" vertical="center" textRotation="0" wrapText="1" indent="0" justifyLastLine="0" shrinkToFit="0" readingOrder="0"/>
    </dxf>
    <dxf>
      <numFmt numFmtId="19" formatCode="d/mm/yyyy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z val="12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z val="12"/>
      </font>
      <numFmt numFmtId="1" formatCode="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1517637</xdr:colOff>
      <xdr:row>1</xdr:row>
      <xdr:rowOff>21525</xdr:rowOff>
    </xdr:from>
    <xdr:to>
      <xdr:col>4</xdr:col>
      <xdr:colOff>170000</xdr:colOff>
      <xdr:row>1</xdr:row>
      <xdr:rowOff>2421402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0A046C5-5B33-BE4E-7932-1FA91B04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4332" y="21525"/>
          <a:ext cx="2626005" cy="239987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97BA1-1F81-46A7-B00B-0AB5D027253A}" name="REPORTE_ENERO3" displayName="REPORTE_ENERO3" ref="B3:T56" totalsRowCount="1" headerRowDxfId="40" dataDxfId="39" totalsRowDxfId="38">
  <autoFilter ref="B3:T55" xr:uid="{A205770B-A7D8-45D5-9A35-492E0503AE02}"/>
  <sortState xmlns:xlrd2="http://schemas.microsoft.com/office/spreadsheetml/2017/richdata2" ref="B4:T55">
    <sortCondition descending="1" ref="D3:D55"/>
  </sortState>
  <tableColumns count="19">
    <tableColumn id="1" xr3:uid="{9C268105-45B5-48C4-A24A-CEC7CA04B02C}" name="Codigo Proyecto" totalsRowFunction="count" dataDxfId="37" totalsRowDxfId="36"/>
    <tableColumn id="18" xr3:uid="{86F7F58A-973F-414B-B056-8C1905DE7A8F}" name="Marco normativo _x000a_aplicable" dataDxfId="35" totalsRowDxfId="34"/>
    <tableColumn id="2" xr3:uid="{9043D2B3-C5F0-4D26-8628-AA0B228C6ED0}" name="Fecha Inscripción proyecto" dataDxfId="33" totalsRowDxfId="32"/>
    <tableColumn id="25" xr3:uid="{D08D6E8E-78DA-4CF2-B363-054FA8CBCFF6}" name="Fecha límite de validez" dataDxfId="31" totalsRowDxfId="30"/>
    <tableColumn id="3" xr3:uid="{22345C50-7399-4A17-930E-951D0618E59E}" name="Nombre  del proyecto2" dataDxfId="29" totalsRowDxfId="28"/>
    <tableColumn id="5" xr3:uid="{735A2F3E-C6FC-46E7-B2D5-4152815CBAC8}" name="Fase" dataDxfId="27" totalsRowDxfId="26"/>
    <tableColumn id="7" xr3:uid="{09DAE773-4F7E-421B-8B1F-6A727BA709F4}" name="Tipo" dataDxfId="25" totalsRowDxfId="24"/>
    <tableColumn id="8" xr3:uid="{F6EE9E85-A95F-49A1-96E4-DA343CDDCA82}" name="Recurso" dataDxfId="23" totalsRowDxfId="22"/>
    <tableColumn id="9" xr3:uid="{A30F8900-2D05-4A0C-8866-6E4C1BF5B33C}" name="Tecnología" dataDxfId="21" totalsRowDxfId="20"/>
    <tableColumn id="10" xr3:uid="{A559239D-1C19-475B-A781-08CAFBFBDC8B}" name="Capacidad [MW]" totalsRowFunction="count" dataDxfId="19" totalsRowDxfId="18"/>
    <tableColumn id="12" xr3:uid="{5529FD70-634D-4B89-A472-6E354417114D}" name="Departamento" dataDxfId="17" totalsRowDxfId="16"/>
    <tableColumn id="11" xr3:uid="{C092282B-DD79-4F7A-BBCD-736546D8A328}" name="Municipio" dataDxfId="15" totalsRowDxfId="14"/>
    <tableColumn id="21" xr3:uid="{B25C3704-AACF-4516-8066-559084057217}" name="Fecha de inicio de construcción" dataDxfId="13" totalsRowDxfId="12"/>
    <tableColumn id="14" xr3:uid="{14AF07A4-E603-4A83-A36A-9D2E92A9C796}" name="Fecha de entrada en operación" dataDxfId="11" totalsRowDxfId="10"/>
    <tableColumn id="4" xr3:uid="{57B85CD1-D4DC-41A6-B1FB-B793211B23A2}" name="Columna1" dataDxfId="9" totalsRowDxfId="8"/>
    <tableColumn id="6" xr3:uid="{778871E4-4CFE-4C62-BE0F-823E3E0E5A29}" name="Columna2" dataDxfId="7" totalsRowDxfId="6"/>
    <tableColumn id="15" xr3:uid="{25850AA0-576C-421A-A15A-4752889786C7}" name="Columna3" dataDxfId="5" totalsRowDxfId="4"/>
    <tableColumn id="16" xr3:uid="{10B8C8E6-7B11-4F76-98B4-FEC7FC9DEC3F}" name="Columna4" dataDxfId="3" totalsRowDxfId="2"/>
    <tableColumn id="17" xr3:uid="{3EB26B4E-9833-427B-85EF-BC5B87B981F2}" name="Columna5" dataDxfId="1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3B70-DB37-4D73-A923-80FBEF89F2A4}">
  <dimension ref="A1:W56"/>
  <sheetViews>
    <sheetView tabSelected="1" topLeftCell="A2" zoomScale="40" zoomScaleNormal="40" workbookViewId="0">
      <selection activeCell="F5" sqref="F5"/>
    </sheetView>
  </sheetViews>
  <sheetFormatPr baseColWidth="10" defaultColWidth="0" defaultRowHeight="0" customHeight="1" zeroHeight="1"/>
  <cols>
    <col min="1" max="1" width="37.08984375" customWidth="1"/>
    <col min="2" max="2" width="17.1796875" style="2" bestFit="1" customWidth="1"/>
    <col min="3" max="3" width="39.453125" style="1" customWidth="1"/>
    <col min="4" max="4" width="17.1796875" style="1" customWidth="1"/>
    <col min="5" max="5" width="15.08984375" style="1" customWidth="1"/>
    <col min="6" max="6" width="80.90625" style="2" bestFit="1" customWidth="1"/>
    <col min="7" max="7" width="13.81640625" style="2" customWidth="1"/>
    <col min="8" max="8" width="16.90625" style="2" customWidth="1"/>
    <col min="9" max="9" width="17.90625" style="2" customWidth="1"/>
    <col min="10" max="10" width="21.36328125" style="2" customWidth="1"/>
    <col min="11" max="11" width="18.90625" style="3" customWidth="1"/>
    <col min="12" max="12" width="24.81640625" style="2" bestFit="1" customWidth="1"/>
    <col min="13" max="13" width="20.6328125" style="2" bestFit="1" customWidth="1"/>
    <col min="14" max="14" width="16.90625" style="2" customWidth="1"/>
    <col min="15" max="15" width="19" style="1" bestFit="1" customWidth="1"/>
    <col min="16" max="16384" width="8.90625" hidden="1"/>
  </cols>
  <sheetData>
    <row r="1" spans="1:23" ht="14.5" hidden="1">
      <c r="A1" s="5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23" ht="192" customHeight="1">
      <c r="A2" s="5"/>
      <c r="B2" s="19" t="s">
        <v>106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9"/>
      <c r="Q2" s="9"/>
      <c r="R2" s="9"/>
      <c r="S2" s="9"/>
      <c r="T2" s="9"/>
      <c r="U2" s="9"/>
      <c r="V2" s="9"/>
      <c r="W2" s="9"/>
    </row>
    <row r="3" spans="1:23" s="6" customFormat="1" ht="51.5" customHeight="1">
      <c r="A3" s="7"/>
      <c r="B3" s="2" t="s">
        <v>29</v>
      </c>
      <c r="C3" s="1" t="s">
        <v>28</v>
      </c>
      <c r="D3" s="1" t="s">
        <v>27</v>
      </c>
      <c r="E3" s="8" t="s">
        <v>26</v>
      </c>
      <c r="F3" s="2" t="s">
        <v>112</v>
      </c>
      <c r="G3" s="2" t="s">
        <v>113</v>
      </c>
      <c r="H3" s="2" t="s">
        <v>25</v>
      </c>
      <c r="I3" s="2" t="s">
        <v>114</v>
      </c>
      <c r="J3" s="2" t="s">
        <v>24</v>
      </c>
      <c r="K3" s="3" t="s">
        <v>23</v>
      </c>
      <c r="L3" s="2" t="s">
        <v>22</v>
      </c>
      <c r="M3" s="2" t="s">
        <v>21</v>
      </c>
      <c r="N3" s="2" t="s">
        <v>20</v>
      </c>
      <c r="O3" s="1" t="s">
        <v>19</v>
      </c>
      <c r="P3" s="2" t="s">
        <v>18</v>
      </c>
      <c r="Q3" s="2" t="s">
        <v>17</v>
      </c>
      <c r="R3" s="2" t="s">
        <v>16</v>
      </c>
      <c r="S3" s="2" t="s">
        <v>15</v>
      </c>
      <c r="T3" s="2" t="s">
        <v>14</v>
      </c>
    </row>
    <row r="4" spans="1:23" ht="13" customHeight="1">
      <c r="A4" s="5"/>
      <c r="B4">
        <v>3790</v>
      </c>
      <c r="C4" t="s">
        <v>81</v>
      </c>
      <c r="D4" s="11">
        <v>46279</v>
      </c>
      <c r="E4" s="17">
        <v>47010</v>
      </c>
      <c r="F4" s="13" t="s">
        <v>107</v>
      </c>
      <c r="G4" t="s">
        <v>32</v>
      </c>
      <c r="H4" s="13" t="s">
        <v>98</v>
      </c>
      <c r="I4" s="13" t="s">
        <v>115</v>
      </c>
      <c r="J4" s="13" t="s">
        <v>116</v>
      </c>
      <c r="K4" s="14">
        <v>19.5</v>
      </c>
      <c r="L4" s="13" t="s">
        <v>126</v>
      </c>
      <c r="M4" s="13" t="s">
        <v>140</v>
      </c>
      <c r="N4" s="11">
        <v>46478</v>
      </c>
      <c r="O4" s="11">
        <v>46661</v>
      </c>
      <c r="P4" s="13"/>
      <c r="Q4" s="11"/>
      <c r="R4" s="11"/>
      <c r="S4" s="2"/>
      <c r="T4" s="2"/>
    </row>
    <row r="5" spans="1:23" ht="13" customHeight="1">
      <c r="A5" s="5"/>
      <c r="B5">
        <v>3829</v>
      </c>
      <c r="C5" t="s">
        <v>81</v>
      </c>
      <c r="D5" s="11">
        <v>46274</v>
      </c>
      <c r="E5" s="17">
        <v>47005</v>
      </c>
      <c r="F5" s="13" t="s">
        <v>108</v>
      </c>
      <c r="G5" t="s">
        <v>32</v>
      </c>
      <c r="H5" s="13" t="s">
        <v>98</v>
      </c>
      <c r="I5" s="13" t="s">
        <v>115</v>
      </c>
      <c r="J5" s="13" t="s">
        <v>116</v>
      </c>
      <c r="K5" s="14">
        <v>9.9</v>
      </c>
      <c r="L5" s="13" t="s">
        <v>127</v>
      </c>
      <c r="M5" s="13" t="s">
        <v>2</v>
      </c>
      <c r="N5" s="11">
        <v>46483</v>
      </c>
      <c r="O5" s="11">
        <v>46666</v>
      </c>
      <c r="P5" s="13"/>
      <c r="Q5" s="11"/>
      <c r="R5" s="11"/>
      <c r="S5" s="2"/>
      <c r="T5" s="2"/>
    </row>
    <row r="6" spans="1:23" ht="13" customHeight="1">
      <c r="A6" s="5"/>
      <c r="B6">
        <v>1581</v>
      </c>
      <c r="C6" t="s">
        <v>81</v>
      </c>
      <c r="D6" s="11">
        <v>46255</v>
      </c>
      <c r="E6" s="17">
        <v>46986</v>
      </c>
      <c r="F6" s="13" t="s">
        <v>93</v>
      </c>
      <c r="G6" t="s">
        <v>44</v>
      </c>
      <c r="H6" s="13" t="s">
        <v>98</v>
      </c>
      <c r="I6" s="13" t="s">
        <v>115</v>
      </c>
      <c r="J6" s="13" t="s">
        <v>116</v>
      </c>
      <c r="K6" s="14">
        <v>57</v>
      </c>
      <c r="L6" s="13" t="s">
        <v>100</v>
      </c>
      <c r="M6" s="13" t="s">
        <v>101</v>
      </c>
      <c r="N6" s="11">
        <v>46388</v>
      </c>
      <c r="O6" s="11">
        <v>46599</v>
      </c>
      <c r="P6" s="13"/>
      <c r="Q6" s="11"/>
      <c r="R6" s="11"/>
      <c r="S6" s="2"/>
      <c r="T6" s="2"/>
    </row>
    <row r="7" spans="1:23" ht="13" customHeight="1">
      <c r="A7" s="5"/>
      <c r="B7">
        <v>1303</v>
      </c>
      <c r="C7" t="s">
        <v>81</v>
      </c>
      <c r="D7" s="11">
        <v>46254</v>
      </c>
      <c r="E7" s="17">
        <v>46985</v>
      </c>
      <c r="F7" s="13" t="s">
        <v>94</v>
      </c>
      <c r="G7" t="s">
        <v>32</v>
      </c>
      <c r="H7" s="13" t="s">
        <v>99</v>
      </c>
      <c r="I7" s="13" t="s">
        <v>117</v>
      </c>
      <c r="J7" s="13" t="s">
        <v>118</v>
      </c>
      <c r="K7" s="14">
        <v>16.489999999999998</v>
      </c>
      <c r="L7" s="13" t="s">
        <v>102</v>
      </c>
      <c r="M7" s="13" t="s">
        <v>103</v>
      </c>
      <c r="N7" s="11">
        <v>47728</v>
      </c>
      <c r="O7" s="11">
        <v>48548</v>
      </c>
      <c r="P7" s="15"/>
      <c r="Q7" s="12"/>
      <c r="R7" s="12"/>
      <c r="S7" s="2"/>
      <c r="T7" s="2"/>
    </row>
    <row r="8" spans="1:23" ht="13" customHeight="1">
      <c r="A8" s="5"/>
      <c r="B8">
        <v>1304</v>
      </c>
      <c r="C8" t="s">
        <v>81</v>
      </c>
      <c r="D8" s="11">
        <v>46254</v>
      </c>
      <c r="E8" s="17">
        <v>46985</v>
      </c>
      <c r="F8" s="13" t="s">
        <v>95</v>
      </c>
      <c r="G8" t="s">
        <v>32</v>
      </c>
      <c r="H8" s="13" t="s">
        <v>99</v>
      </c>
      <c r="I8" s="13" t="s">
        <v>117</v>
      </c>
      <c r="J8" s="13" t="s">
        <v>118</v>
      </c>
      <c r="K8" s="14">
        <v>19.899999999999999</v>
      </c>
      <c r="L8" s="13" t="s">
        <v>102</v>
      </c>
      <c r="M8" s="13" t="s">
        <v>103</v>
      </c>
      <c r="N8" s="11">
        <v>47639</v>
      </c>
      <c r="O8" s="11">
        <v>48579</v>
      </c>
      <c r="P8" s="15"/>
      <c r="Q8" s="12"/>
      <c r="R8" s="12"/>
      <c r="S8" s="2"/>
      <c r="T8" s="2"/>
    </row>
    <row r="9" spans="1:23" ht="13" customHeight="1">
      <c r="A9" s="5"/>
      <c r="B9">
        <v>1305</v>
      </c>
      <c r="C9" t="s">
        <v>81</v>
      </c>
      <c r="D9" s="11">
        <v>46254</v>
      </c>
      <c r="E9" s="17">
        <v>46985</v>
      </c>
      <c r="F9" s="13" t="s">
        <v>96</v>
      </c>
      <c r="G9" t="s">
        <v>32</v>
      </c>
      <c r="H9" s="13" t="s">
        <v>99</v>
      </c>
      <c r="I9" s="13" t="s">
        <v>117</v>
      </c>
      <c r="J9" s="13" t="s">
        <v>118</v>
      </c>
      <c r="K9" s="14">
        <v>19.489999999999998</v>
      </c>
      <c r="L9" s="13" t="s">
        <v>102</v>
      </c>
      <c r="M9" s="13" t="s">
        <v>103</v>
      </c>
      <c r="N9" s="11">
        <v>47728</v>
      </c>
      <c r="O9" s="11">
        <v>48548</v>
      </c>
      <c r="P9" s="15"/>
      <c r="Q9" s="12"/>
      <c r="R9" s="12"/>
      <c r="S9" s="2"/>
      <c r="T9" s="2"/>
    </row>
    <row r="10" spans="1:23" ht="13" customHeight="1">
      <c r="A10" s="5"/>
      <c r="B10">
        <v>3894</v>
      </c>
      <c r="C10" t="s">
        <v>81</v>
      </c>
      <c r="D10" s="11">
        <v>46239</v>
      </c>
      <c r="E10" s="17">
        <v>46970</v>
      </c>
      <c r="F10" s="13" t="s">
        <v>97</v>
      </c>
      <c r="G10" t="s">
        <v>44</v>
      </c>
      <c r="H10" s="13" t="s">
        <v>98</v>
      </c>
      <c r="I10" s="13" t="s">
        <v>115</v>
      </c>
      <c r="J10" s="13" t="s">
        <v>116</v>
      </c>
      <c r="K10" s="14">
        <v>80</v>
      </c>
      <c r="L10" s="13" t="s">
        <v>104</v>
      </c>
      <c r="M10" s="13" t="s">
        <v>105</v>
      </c>
      <c r="N10" s="11">
        <v>46388</v>
      </c>
      <c r="O10" s="11">
        <v>46753</v>
      </c>
      <c r="P10" s="13"/>
      <c r="Q10" s="11"/>
      <c r="R10" s="11"/>
      <c r="S10" s="2"/>
      <c r="T10" s="2"/>
    </row>
    <row r="11" spans="1:23" ht="13" customHeight="1">
      <c r="A11" s="5"/>
      <c r="B11">
        <v>3890</v>
      </c>
      <c r="C11" t="s">
        <v>81</v>
      </c>
      <c r="D11" s="11">
        <v>46224</v>
      </c>
      <c r="E11" s="17">
        <v>46955</v>
      </c>
      <c r="F11" s="13" t="s">
        <v>83</v>
      </c>
      <c r="G11" t="s">
        <v>44</v>
      </c>
      <c r="H11" s="13" t="s">
        <v>99</v>
      </c>
      <c r="I11" s="13" t="s">
        <v>117</v>
      </c>
      <c r="J11" s="13" t="s">
        <v>118</v>
      </c>
      <c r="K11" s="14">
        <v>19.899999999999999</v>
      </c>
      <c r="L11" s="13" t="s">
        <v>128</v>
      </c>
      <c r="M11" s="13" t="s">
        <v>141</v>
      </c>
      <c r="N11" s="11">
        <v>46769</v>
      </c>
      <c r="O11" s="11">
        <v>47817</v>
      </c>
      <c r="P11" s="13"/>
      <c r="Q11" s="11"/>
      <c r="R11" s="11"/>
      <c r="S11" s="2"/>
      <c r="T11" s="2"/>
    </row>
    <row r="12" spans="1:23" ht="13" customHeight="1">
      <c r="A12" s="5"/>
      <c r="B12">
        <v>3893</v>
      </c>
      <c r="C12" t="s">
        <v>81</v>
      </c>
      <c r="D12" s="11">
        <v>46220</v>
      </c>
      <c r="E12" s="17">
        <v>46951</v>
      </c>
      <c r="F12" s="13" t="s">
        <v>84</v>
      </c>
      <c r="G12" t="s">
        <v>44</v>
      </c>
      <c r="H12" s="13" t="s">
        <v>98</v>
      </c>
      <c r="I12" s="13" t="s">
        <v>115</v>
      </c>
      <c r="J12" s="13" t="s">
        <v>116</v>
      </c>
      <c r="K12" s="14">
        <v>800</v>
      </c>
      <c r="L12" s="13" t="s">
        <v>129</v>
      </c>
      <c r="M12" s="13" t="s">
        <v>89</v>
      </c>
      <c r="N12" s="11">
        <v>46753</v>
      </c>
      <c r="O12" s="11">
        <v>47483</v>
      </c>
      <c r="P12" s="13"/>
      <c r="Q12" s="11"/>
      <c r="R12" s="11"/>
      <c r="S12" s="2"/>
      <c r="T12" s="2"/>
    </row>
    <row r="13" spans="1:23" ht="13" customHeight="1">
      <c r="A13" s="5"/>
      <c r="B13">
        <v>3888</v>
      </c>
      <c r="C13" t="s">
        <v>81</v>
      </c>
      <c r="D13" s="12">
        <v>46218</v>
      </c>
      <c r="E13" s="17">
        <v>46949</v>
      </c>
      <c r="F13" s="15" t="s">
        <v>85</v>
      </c>
      <c r="G13" t="s">
        <v>44</v>
      </c>
      <c r="H13" s="13" t="s">
        <v>98</v>
      </c>
      <c r="I13" s="13" t="s">
        <v>115</v>
      </c>
      <c r="J13" s="13" t="s">
        <v>116</v>
      </c>
      <c r="K13" s="16">
        <v>40</v>
      </c>
      <c r="L13" s="15" t="s">
        <v>130</v>
      </c>
      <c r="M13" s="15" t="s">
        <v>142</v>
      </c>
      <c r="N13" s="12">
        <v>46388</v>
      </c>
      <c r="O13" s="12">
        <v>46753</v>
      </c>
      <c r="P13" s="13"/>
      <c r="Q13" s="11"/>
      <c r="R13" s="11"/>
      <c r="S13" s="2"/>
      <c r="T13" s="2"/>
    </row>
    <row r="14" spans="1:23" ht="13" customHeight="1">
      <c r="A14" s="5"/>
      <c r="B14">
        <v>3891</v>
      </c>
      <c r="C14" t="s">
        <v>81</v>
      </c>
      <c r="D14" s="12">
        <v>46213</v>
      </c>
      <c r="E14" s="17">
        <v>46944</v>
      </c>
      <c r="F14" s="15" t="s">
        <v>86</v>
      </c>
      <c r="G14" t="s">
        <v>32</v>
      </c>
      <c r="H14" s="13" t="s">
        <v>98</v>
      </c>
      <c r="I14" s="13" t="s">
        <v>115</v>
      </c>
      <c r="J14" s="13" t="s">
        <v>116</v>
      </c>
      <c r="K14" s="16">
        <v>200</v>
      </c>
      <c r="L14" s="15" t="s">
        <v>104</v>
      </c>
      <c r="M14" s="15" t="s">
        <v>90</v>
      </c>
      <c r="N14" s="12">
        <v>46341</v>
      </c>
      <c r="O14" s="12">
        <v>46751</v>
      </c>
      <c r="P14" s="13"/>
      <c r="Q14" s="11"/>
      <c r="R14" s="11"/>
      <c r="S14" s="2"/>
      <c r="T14" s="2"/>
    </row>
    <row r="15" spans="1:23" ht="13" customHeight="1">
      <c r="A15" s="5"/>
      <c r="B15">
        <v>3889</v>
      </c>
      <c r="C15" t="s">
        <v>81</v>
      </c>
      <c r="D15" s="12">
        <v>46212</v>
      </c>
      <c r="E15" s="17">
        <v>46943</v>
      </c>
      <c r="F15" s="15" t="s">
        <v>87</v>
      </c>
      <c r="G15" t="s">
        <v>32</v>
      </c>
      <c r="H15" s="13" t="s">
        <v>99</v>
      </c>
      <c r="I15" s="13" t="s">
        <v>117</v>
      </c>
      <c r="J15" s="13" t="s">
        <v>118</v>
      </c>
      <c r="K15" s="16">
        <v>13.7</v>
      </c>
      <c r="L15" s="15" t="s">
        <v>128</v>
      </c>
      <c r="M15" s="15" t="s">
        <v>91</v>
      </c>
      <c r="N15" s="12">
        <v>46388</v>
      </c>
      <c r="O15" s="12">
        <v>47299</v>
      </c>
      <c r="P15" s="13"/>
      <c r="Q15" s="11"/>
      <c r="R15" s="11"/>
      <c r="S15" s="2"/>
      <c r="T15" s="2"/>
    </row>
    <row r="16" spans="1:23" ht="13" customHeight="1">
      <c r="A16" s="5"/>
      <c r="B16">
        <v>212</v>
      </c>
      <c r="C16" t="s">
        <v>81</v>
      </c>
      <c r="D16" s="11">
        <v>46210</v>
      </c>
      <c r="E16" s="17">
        <v>46941</v>
      </c>
      <c r="F16" s="13" t="s">
        <v>88</v>
      </c>
      <c r="G16" t="s">
        <v>32</v>
      </c>
      <c r="H16" s="13" t="s">
        <v>99</v>
      </c>
      <c r="I16" s="13" t="s">
        <v>117</v>
      </c>
      <c r="J16" s="13" t="s">
        <v>118</v>
      </c>
      <c r="K16" s="14">
        <v>49.9</v>
      </c>
      <c r="L16" s="13" t="s">
        <v>128</v>
      </c>
      <c r="M16" s="13" t="s">
        <v>92</v>
      </c>
      <c r="N16" s="11">
        <v>46568</v>
      </c>
      <c r="O16" s="11">
        <v>47879</v>
      </c>
      <c r="P16" s="13"/>
      <c r="Q16" s="11"/>
      <c r="R16" s="11"/>
      <c r="S16" s="2"/>
      <c r="T16" s="2"/>
    </row>
    <row r="17" spans="1:20" ht="13" customHeight="1">
      <c r="A17" s="5"/>
      <c r="B17">
        <v>3887</v>
      </c>
      <c r="C17" t="s">
        <v>81</v>
      </c>
      <c r="D17" s="11">
        <v>46195</v>
      </c>
      <c r="E17" s="17">
        <v>46752</v>
      </c>
      <c r="F17" s="13" t="s">
        <v>75</v>
      </c>
      <c r="G17" t="s">
        <v>44</v>
      </c>
      <c r="H17" s="13" t="s">
        <v>98</v>
      </c>
      <c r="I17" s="13" t="s">
        <v>115</v>
      </c>
      <c r="J17" s="13" t="s">
        <v>116</v>
      </c>
      <c r="K17" s="14">
        <v>19.899999999999999</v>
      </c>
      <c r="L17" s="13" t="s">
        <v>76</v>
      </c>
      <c r="M17" s="13" t="s">
        <v>77</v>
      </c>
      <c r="N17" s="11">
        <v>46752</v>
      </c>
      <c r="O17" s="11">
        <v>47118</v>
      </c>
      <c r="P17" s="13"/>
      <c r="Q17" s="11"/>
      <c r="R17" s="11"/>
      <c r="S17" s="2"/>
      <c r="T17" s="2"/>
    </row>
    <row r="18" spans="1:20" ht="13" customHeight="1">
      <c r="A18" s="5"/>
      <c r="B18">
        <v>3719</v>
      </c>
      <c r="C18" t="s">
        <v>81</v>
      </c>
      <c r="D18" s="11">
        <v>46189</v>
      </c>
      <c r="E18" s="17">
        <v>46325</v>
      </c>
      <c r="F18" s="13" t="s">
        <v>78</v>
      </c>
      <c r="G18" t="s">
        <v>32</v>
      </c>
      <c r="H18" s="13" t="s">
        <v>98</v>
      </c>
      <c r="I18" s="13" t="s">
        <v>115</v>
      </c>
      <c r="J18" s="13" t="s">
        <v>116</v>
      </c>
      <c r="K18" s="14">
        <v>19.899999999999999</v>
      </c>
      <c r="L18" s="13" t="s">
        <v>104</v>
      </c>
      <c r="M18" s="13" t="s">
        <v>79</v>
      </c>
      <c r="N18" s="11">
        <v>46325</v>
      </c>
      <c r="O18" s="11">
        <v>46447</v>
      </c>
      <c r="P18" s="13"/>
      <c r="Q18" s="11"/>
      <c r="R18" s="11"/>
      <c r="S18" s="2"/>
      <c r="T18" s="2"/>
    </row>
    <row r="19" spans="1:20" ht="13" customHeight="1">
      <c r="A19" s="5"/>
      <c r="B19">
        <v>3639</v>
      </c>
      <c r="C19" t="s">
        <v>81</v>
      </c>
      <c r="D19" s="11">
        <v>46140</v>
      </c>
      <c r="E19" s="17">
        <v>46418</v>
      </c>
      <c r="F19" s="13" t="s">
        <v>8</v>
      </c>
      <c r="G19" t="s">
        <v>32</v>
      </c>
      <c r="H19" s="13" t="s">
        <v>98</v>
      </c>
      <c r="I19" s="13" t="s">
        <v>115</v>
      </c>
      <c r="J19" s="13" t="s">
        <v>116</v>
      </c>
      <c r="K19" s="14">
        <v>9.9</v>
      </c>
      <c r="L19" s="13" t="s">
        <v>127</v>
      </c>
      <c r="M19" s="13" t="s">
        <v>2</v>
      </c>
      <c r="N19" s="11">
        <v>46418</v>
      </c>
      <c r="O19" s="11">
        <v>46752</v>
      </c>
      <c r="P19" s="13"/>
      <c r="Q19" s="11"/>
      <c r="R19" s="11"/>
      <c r="S19" s="2"/>
      <c r="T19" s="2"/>
    </row>
    <row r="20" spans="1:20" ht="13" customHeight="1">
      <c r="A20" s="5"/>
      <c r="B20">
        <v>3885</v>
      </c>
      <c r="C20" t="s">
        <v>81</v>
      </c>
      <c r="D20" s="11">
        <v>46134</v>
      </c>
      <c r="E20" s="17">
        <v>46388</v>
      </c>
      <c r="F20" s="13" t="s">
        <v>73</v>
      </c>
      <c r="G20" t="s">
        <v>44</v>
      </c>
      <c r="H20" s="13" t="s">
        <v>99</v>
      </c>
      <c r="I20" s="13" t="s">
        <v>117</v>
      </c>
      <c r="J20" s="13" t="s">
        <v>118</v>
      </c>
      <c r="K20" s="14">
        <v>9.99</v>
      </c>
      <c r="L20" s="13" t="s">
        <v>128</v>
      </c>
      <c r="M20" s="13" t="s">
        <v>143</v>
      </c>
      <c r="N20" s="11">
        <v>46388</v>
      </c>
      <c r="O20" s="11">
        <v>47483</v>
      </c>
      <c r="P20" s="13"/>
      <c r="Q20" s="11"/>
      <c r="R20" s="11"/>
      <c r="S20" s="2"/>
      <c r="T20" s="2"/>
    </row>
    <row r="21" spans="1:20" ht="13" customHeight="1">
      <c r="A21" s="5"/>
      <c r="B21">
        <v>3886</v>
      </c>
      <c r="C21" t="s">
        <v>81</v>
      </c>
      <c r="D21" s="11">
        <v>46134</v>
      </c>
      <c r="E21" s="17">
        <v>46388</v>
      </c>
      <c r="F21" s="13" t="s">
        <v>72</v>
      </c>
      <c r="G21" t="s">
        <v>44</v>
      </c>
      <c r="H21" s="13" t="s">
        <v>99</v>
      </c>
      <c r="I21" s="13" t="s">
        <v>117</v>
      </c>
      <c r="J21" s="13" t="s">
        <v>118</v>
      </c>
      <c r="K21" s="14">
        <v>4.99</v>
      </c>
      <c r="L21" s="13" t="s">
        <v>128</v>
      </c>
      <c r="M21" s="13" t="s">
        <v>74</v>
      </c>
      <c r="N21" s="11">
        <v>46388</v>
      </c>
      <c r="O21" s="11">
        <v>47118</v>
      </c>
      <c r="P21" s="13"/>
      <c r="Q21" s="11"/>
      <c r="R21" s="11"/>
      <c r="S21" s="2"/>
      <c r="T21" s="2"/>
    </row>
    <row r="22" spans="1:20" ht="13" customHeight="1">
      <c r="A22" s="5"/>
      <c r="B22">
        <v>3880</v>
      </c>
      <c r="C22" t="s">
        <v>81</v>
      </c>
      <c r="D22" s="11">
        <v>46080</v>
      </c>
      <c r="E22" s="17">
        <v>46653</v>
      </c>
      <c r="F22" s="13" t="s">
        <v>31</v>
      </c>
      <c r="G22" t="s">
        <v>32</v>
      </c>
      <c r="H22" s="13" t="s">
        <v>98</v>
      </c>
      <c r="I22" s="13" t="s">
        <v>115</v>
      </c>
      <c r="J22" s="13" t="s">
        <v>116</v>
      </c>
      <c r="K22" s="14">
        <v>200</v>
      </c>
      <c r="L22" s="13" t="s">
        <v>131</v>
      </c>
      <c r="M22" s="13" t="s">
        <v>52</v>
      </c>
      <c r="N22" s="11">
        <v>46653</v>
      </c>
      <c r="O22" s="11">
        <v>47422</v>
      </c>
      <c r="P22" s="13"/>
      <c r="Q22" s="11"/>
      <c r="R22" s="11"/>
      <c r="S22" s="2"/>
      <c r="T22" s="2"/>
    </row>
    <row r="23" spans="1:20" ht="13" customHeight="1">
      <c r="A23" s="5"/>
      <c r="B23">
        <v>3882</v>
      </c>
      <c r="C23" t="s">
        <v>81</v>
      </c>
      <c r="D23" s="11">
        <v>46071</v>
      </c>
      <c r="E23" s="17">
        <v>46801</v>
      </c>
      <c r="F23" s="13" t="s">
        <v>34</v>
      </c>
      <c r="G23" t="s">
        <v>32</v>
      </c>
      <c r="H23" s="13" t="s">
        <v>98</v>
      </c>
      <c r="I23" s="13" t="s">
        <v>115</v>
      </c>
      <c r="J23" s="13" t="s">
        <v>116</v>
      </c>
      <c r="K23" s="14">
        <v>99.9</v>
      </c>
      <c r="L23" s="13" t="s">
        <v>132</v>
      </c>
      <c r="M23" s="13" t="s">
        <v>54</v>
      </c>
      <c r="N23" s="11">
        <v>46935</v>
      </c>
      <c r="O23" s="11">
        <v>47453</v>
      </c>
      <c r="P23" s="13"/>
      <c r="Q23" s="11"/>
      <c r="R23" s="11"/>
      <c r="S23" s="2"/>
      <c r="T23" s="2"/>
    </row>
    <row r="24" spans="1:20" ht="13" customHeight="1">
      <c r="A24" s="5"/>
      <c r="B24">
        <v>3883</v>
      </c>
      <c r="C24" t="s">
        <v>81</v>
      </c>
      <c r="D24" s="11">
        <v>46071</v>
      </c>
      <c r="E24" s="17">
        <v>46801</v>
      </c>
      <c r="F24" s="13" t="s">
        <v>33</v>
      </c>
      <c r="G24" t="s">
        <v>32</v>
      </c>
      <c r="H24" s="13" t="s">
        <v>98</v>
      </c>
      <c r="I24" s="13" t="s">
        <v>115</v>
      </c>
      <c r="J24" s="13" t="s">
        <v>116</v>
      </c>
      <c r="K24" s="14">
        <v>50</v>
      </c>
      <c r="L24" s="13" t="s">
        <v>133</v>
      </c>
      <c r="M24" s="13" t="s">
        <v>53</v>
      </c>
      <c r="N24" s="11">
        <v>46935</v>
      </c>
      <c r="O24" s="11">
        <v>47453</v>
      </c>
      <c r="P24" s="13"/>
      <c r="Q24" s="11"/>
      <c r="R24" s="11"/>
      <c r="S24" s="2"/>
      <c r="T24" s="2"/>
    </row>
    <row r="25" spans="1:20" ht="13" customHeight="1">
      <c r="A25" s="5"/>
      <c r="B25">
        <v>3875</v>
      </c>
      <c r="C25" t="s">
        <v>81</v>
      </c>
      <c r="D25" s="11">
        <v>46058</v>
      </c>
      <c r="E25" s="17">
        <v>46788</v>
      </c>
      <c r="F25" s="13" t="s">
        <v>35</v>
      </c>
      <c r="G25" t="s">
        <v>32</v>
      </c>
      <c r="H25" s="13" t="s">
        <v>98</v>
      </c>
      <c r="I25" s="13" t="s">
        <v>115</v>
      </c>
      <c r="J25" s="13" t="s">
        <v>116</v>
      </c>
      <c r="K25" s="14">
        <v>100</v>
      </c>
      <c r="L25" s="13" t="s">
        <v>102</v>
      </c>
      <c r="M25" s="13" t="s">
        <v>56</v>
      </c>
      <c r="N25" s="11">
        <v>46935</v>
      </c>
      <c r="O25" s="11">
        <v>47483</v>
      </c>
      <c r="P25" s="13"/>
      <c r="Q25" s="11"/>
      <c r="R25" s="11"/>
      <c r="S25" s="2"/>
      <c r="T25" s="2"/>
    </row>
    <row r="26" spans="1:20" ht="13" customHeight="1">
      <c r="A26" s="5"/>
      <c r="B26">
        <v>3876</v>
      </c>
      <c r="C26" t="s">
        <v>81</v>
      </c>
      <c r="D26" s="11">
        <v>46052</v>
      </c>
      <c r="E26" s="17">
        <v>46721</v>
      </c>
      <c r="F26" s="13" t="s">
        <v>36</v>
      </c>
      <c r="G26" t="s">
        <v>32</v>
      </c>
      <c r="H26" s="13" t="s">
        <v>119</v>
      </c>
      <c r="I26" s="13" t="s">
        <v>120</v>
      </c>
      <c r="J26" s="13" t="s">
        <v>121</v>
      </c>
      <c r="K26" s="14">
        <v>150</v>
      </c>
      <c r="L26" s="13" t="s">
        <v>134</v>
      </c>
      <c r="M26" s="13" t="s">
        <v>57</v>
      </c>
      <c r="N26" s="11">
        <v>46721</v>
      </c>
      <c r="O26" s="11">
        <v>47452</v>
      </c>
      <c r="P26" s="13"/>
      <c r="Q26" s="11"/>
      <c r="R26" s="11"/>
      <c r="S26" s="2"/>
      <c r="T26" s="2"/>
    </row>
    <row r="27" spans="1:20" ht="13" customHeight="1">
      <c r="A27" s="5"/>
      <c r="B27">
        <v>3877</v>
      </c>
      <c r="C27" t="s">
        <v>81</v>
      </c>
      <c r="D27" s="11">
        <v>46052</v>
      </c>
      <c r="E27" s="17">
        <v>46782</v>
      </c>
      <c r="F27" s="13" t="s">
        <v>37</v>
      </c>
      <c r="G27" t="s">
        <v>32</v>
      </c>
      <c r="H27" s="13" t="s">
        <v>98</v>
      </c>
      <c r="I27" s="13" t="s">
        <v>115</v>
      </c>
      <c r="J27" s="13" t="s">
        <v>116</v>
      </c>
      <c r="K27" s="14">
        <v>175</v>
      </c>
      <c r="L27" s="13" t="s">
        <v>131</v>
      </c>
      <c r="M27" s="13" t="s">
        <v>144</v>
      </c>
      <c r="N27" s="11">
        <v>46934</v>
      </c>
      <c r="O27" s="11">
        <v>47452</v>
      </c>
      <c r="P27" s="13"/>
      <c r="Q27" s="11"/>
      <c r="R27" s="11"/>
      <c r="S27" s="2"/>
      <c r="T27" s="2"/>
    </row>
    <row r="28" spans="1:20" ht="13" customHeight="1">
      <c r="A28" s="5"/>
      <c r="B28">
        <v>3652</v>
      </c>
      <c r="C28" t="s">
        <v>81</v>
      </c>
      <c r="D28" s="11">
        <v>46049</v>
      </c>
      <c r="E28" s="17">
        <v>46569</v>
      </c>
      <c r="F28" s="13" t="s">
        <v>30</v>
      </c>
      <c r="G28" t="s">
        <v>32</v>
      </c>
      <c r="H28" s="13" t="s">
        <v>98</v>
      </c>
      <c r="I28" s="13" t="s">
        <v>115</v>
      </c>
      <c r="J28" s="13" t="s">
        <v>116</v>
      </c>
      <c r="K28" s="14">
        <v>180</v>
      </c>
      <c r="L28" s="13" t="s">
        <v>132</v>
      </c>
      <c r="M28" s="13" t="s">
        <v>145</v>
      </c>
      <c r="N28" s="11">
        <v>46569</v>
      </c>
      <c r="O28" s="11">
        <v>46813</v>
      </c>
      <c r="P28" s="13"/>
      <c r="Q28" s="11"/>
      <c r="R28" s="11"/>
      <c r="S28" s="2"/>
      <c r="T28" s="2"/>
    </row>
    <row r="29" spans="1:20" ht="13" customHeight="1">
      <c r="A29" s="5"/>
      <c r="B29">
        <v>1670</v>
      </c>
      <c r="C29" t="s">
        <v>81</v>
      </c>
      <c r="D29" s="11">
        <v>46048</v>
      </c>
      <c r="E29" s="17">
        <v>46569</v>
      </c>
      <c r="F29" s="13" t="s">
        <v>38</v>
      </c>
      <c r="G29" t="s">
        <v>32</v>
      </c>
      <c r="H29" s="13" t="s">
        <v>98</v>
      </c>
      <c r="I29" s="13" t="s">
        <v>115</v>
      </c>
      <c r="J29" s="13" t="s">
        <v>116</v>
      </c>
      <c r="K29" s="14">
        <v>170</v>
      </c>
      <c r="L29" s="13" t="s">
        <v>135</v>
      </c>
      <c r="M29" s="13" t="s">
        <v>59</v>
      </c>
      <c r="N29" s="11">
        <v>46569</v>
      </c>
      <c r="O29" s="11">
        <v>46912</v>
      </c>
      <c r="P29" s="13"/>
      <c r="Q29" s="11"/>
      <c r="R29" s="11"/>
      <c r="S29" s="2"/>
      <c r="T29" s="2"/>
    </row>
    <row r="30" spans="1:20" ht="13" customHeight="1">
      <c r="A30" s="5"/>
      <c r="B30">
        <v>3546</v>
      </c>
      <c r="C30" t="s">
        <v>81</v>
      </c>
      <c r="D30" s="11">
        <v>46048</v>
      </c>
      <c r="E30" s="17">
        <v>46569</v>
      </c>
      <c r="F30" s="13" t="s">
        <v>13</v>
      </c>
      <c r="G30" t="s">
        <v>32</v>
      </c>
      <c r="H30" s="13" t="s">
        <v>98</v>
      </c>
      <c r="I30" s="13" t="s">
        <v>115</v>
      </c>
      <c r="J30" s="13" t="s">
        <v>116</v>
      </c>
      <c r="K30" s="14">
        <v>135</v>
      </c>
      <c r="L30" s="13" t="s">
        <v>131</v>
      </c>
      <c r="M30" s="13" t="s">
        <v>146</v>
      </c>
      <c r="N30" s="11">
        <v>46569</v>
      </c>
      <c r="O30" s="11">
        <v>47087</v>
      </c>
      <c r="P30" s="13"/>
      <c r="Q30" s="11"/>
      <c r="R30" s="11"/>
      <c r="S30" s="2"/>
      <c r="T30" s="2"/>
    </row>
    <row r="31" spans="1:20" ht="13" customHeight="1">
      <c r="A31" s="5"/>
      <c r="B31">
        <v>3770</v>
      </c>
      <c r="C31" t="s">
        <v>81</v>
      </c>
      <c r="D31" s="11">
        <v>46048</v>
      </c>
      <c r="E31" s="17">
        <v>46568</v>
      </c>
      <c r="F31" s="13" t="s">
        <v>109</v>
      </c>
      <c r="G31" t="s">
        <v>32</v>
      </c>
      <c r="H31" s="13" t="s">
        <v>98</v>
      </c>
      <c r="I31" s="13" t="s">
        <v>115</v>
      </c>
      <c r="J31" s="13" t="s">
        <v>116</v>
      </c>
      <c r="K31" s="14">
        <v>9.9</v>
      </c>
      <c r="L31" s="13" t="s">
        <v>80</v>
      </c>
      <c r="M31" s="13" t="s">
        <v>60</v>
      </c>
      <c r="N31" s="11">
        <v>46568</v>
      </c>
      <c r="O31" s="11">
        <v>46752</v>
      </c>
      <c r="P31" s="13"/>
      <c r="Q31" s="11"/>
      <c r="R31" s="11"/>
      <c r="S31" s="2"/>
      <c r="T31" s="2"/>
    </row>
    <row r="32" spans="1:20" ht="13" customHeight="1">
      <c r="A32" s="5"/>
      <c r="B32">
        <v>3870</v>
      </c>
      <c r="C32" t="s">
        <v>81</v>
      </c>
      <c r="D32" s="11">
        <v>46048</v>
      </c>
      <c r="E32" s="17">
        <v>46539</v>
      </c>
      <c r="F32" s="13" t="s">
        <v>39</v>
      </c>
      <c r="G32" t="s">
        <v>32</v>
      </c>
      <c r="H32" s="13" t="s">
        <v>98</v>
      </c>
      <c r="I32" s="13" t="s">
        <v>115</v>
      </c>
      <c r="J32" s="13" t="s">
        <v>116</v>
      </c>
      <c r="K32" s="14">
        <v>99.9</v>
      </c>
      <c r="L32" s="13" t="s">
        <v>104</v>
      </c>
      <c r="M32" s="13" t="s">
        <v>61</v>
      </c>
      <c r="N32" s="11">
        <v>46539</v>
      </c>
      <c r="O32" s="11">
        <v>47453</v>
      </c>
      <c r="P32" s="13"/>
      <c r="Q32" s="11"/>
      <c r="R32" s="11"/>
      <c r="S32" s="2"/>
      <c r="T32" s="2"/>
    </row>
    <row r="33" spans="1:20" ht="13" customHeight="1">
      <c r="A33" s="5"/>
      <c r="B33">
        <v>3871</v>
      </c>
      <c r="C33" t="s">
        <v>81</v>
      </c>
      <c r="D33" s="11">
        <v>46048</v>
      </c>
      <c r="E33" s="17">
        <v>46778</v>
      </c>
      <c r="F33" s="13" t="s">
        <v>40</v>
      </c>
      <c r="G33" t="s">
        <v>32</v>
      </c>
      <c r="H33" s="13" t="s">
        <v>98</v>
      </c>
      <c r="I33" s="13" t="s">
        <v>115</v>
      </c>
      <c r="J33" s="13" t="s">
        <v>116</v>
      </c>
      <c r="K33" s="14">
        <v>99.9</v>
      </c>
      <c r="L33" s="13" t="s">
        <v>104</v>
      </c>
      <c r="M33" s="13" t="s">
        <v>62</v>
      </c>
      <c r="N33" s="11">
        <v>46935</v>
      </c>
      <c r="O33" s="11">
        <v>47453</v>
      </c>
      <c r="P33" s="13"/>
      <c r="Q33" s="11"/>
      <c r="R33" s="11"/>
      <c r="S33" s="2"/>
      <c r="T33" s="2"/>
    </row>
    <row r="34" spans="1:20" ht="13" customHeight="1">
      <c r="A34" s="5"/>
      <c r="B34">
        <v>3872</v>
      </c>
      <c r="C34" t="s">
        <v>81</v>
      </c>
      <c r="D34" s="11">
        <v>46048</v>
      </c>
      <c r="E34" s="17">
        <v>46539</v>
      </c>
      <c r="F34" s="13" t="s">
        <v>41</v>
      </c>
      <c r="G34" t="s">
        <v>32</v>
      </c>
      <c r="H34" s="13" t="s">
        <v>98</v>
      </c>
      <c r="I34" s="13" t="s">
        <v>115</v>
      </c>
      <c r="J34" s="13" t="s">
        <v>116</v>
      </c>
      <c r="K34" s="14">
        <v>80</v>
      </c>
      <c r="L34" s="13" t="s">
        <v>104</v>
      </c>
      <c r="M34" s="13" t="s">
        <v>63</v>
      </c>
      <c r="N34" s="11">
        <v>46539</v>
      </c>
      <c r="O34" s="11">
        <v>47453</v>
      </c>
      <c r="P34" s="13"/>
      <c r="Q34" s="11"/>
      <c r="R34" s="11"/>
      <c r="S34" s="2"/>
      <c r="T34" s="2"/>
    </row>
    <row r="35" spans="1:20" ht="13" customHeight="1">
      <c r="A35" s="5"/>
      <c r="B35">
        <v>3865</v>
      </c>
      <c r="C35" t="s">
        <v>81</v>
      </c>
      <c r="D35" s="11">
        <v>46037</v>
      </c>
      <c r="E35" s="17">
        <v>46753</v>
      </c>
      <c r="F35" s="13" t="s">
        <v>12</v>
      </c>
      <c r="G35" t="s">
        <v>32</v>
      </c>
      <c r="H35" s="13" t="s">
        <v>122</v>
      </c>
      <c r="I35" s="13" t="s">
        <v>123</v>
      </c>
      <c r="J35" s="13" t="s">
        <v>124</v>
      </c>
      <c r="K35" s="14">
        <v>42</v>
      </c>
      <c r="L35" s="13" t="s">
        <v>127</v>
      </c>
      <c r="M35" s="13" t="s">
        <v>64</v>
      </c>
      <c r="N35" s="11">
        <v>46753</v>
      </c>
      <c r="O35" s="11">
        <v>47362</v>
      </c>
      <c r="P35" s="13"/>
      <c r="Q35" s="11"/>
      <c r="R35" s="11"/>
      <c r="S35" s="2"/>
      <c r="T35" s="2"/>
    </row>
    <row r="36" spans="1:20" ht="13" customHeight="1">
      <c r="A36" s="5"/>
      <c r="B36">
        <v>3614</v>
      </c>
      <c r="C36" t="s">
        <v>81</v>
      </c>
      <c r="D36" s="11">
        <v>46031</v>
      </c>
      <c r="E36" s="17">
        <v>46323</v>
      </c>
      <c r="F36" s="13" t="s">
        <v>11</v>
      </c>
      <c r="G36" t="s">
        <v>32</v>
      </c>
      <c r="H36" s="13" t="s">
        <v>98</v>
      </c>
      <c r="I36" s="13" t="s">
        <v>115</v>
      </c>
      <c r="J36" s="13" t="s">
        <v>116</v>
      </c>
      <c r="K36" s="14">
        <v>350</v>
      </c>
      <c r="L36" s="13" t="s">
        <v>131</v>
      </c>
      <c r="M36" s="13" t="s">
        <v>144</v>
      </c>
      <c r="N36" s="11">
        <v>46323</v>
      </c>
      <c r="O36" s="11">
        <v>46630</v>
      </c>
      <c r="P36" s="13"/>
      <c r="Q36" s="11"/>
      <c r="R36" s="11"/>
      <c r="S36" s="2"/>
      <c r="T36" s="2"/>
    </row>
    <row r="37" spans="1:20" ht="13" customHeight="1">
      <c r="A37" s="5"/>
      <c r="B37">
        <v>3864</v>
      </c>
      <c r="C37" t="s">
        <v>81</v>
      </c>
      <c r="D37" s="11">
        <v>46031</v>
      </c>
      <c r="E37" s="17">
        <v>46761</v>
      </c>
      <c r="F37" s="13" t="s">
        <v>42</v>
      </c>
      <c r="G37" t="s">
        <v>32</v>
      </c>
      <c r="H37" s="13" t="s">
        <v>98</v>
      </c>
      <c r="I37" s="13" t="s">
        <v>115</v>
      </c>
      <c r="J37" s="13" t="s">
        <v>116</v>
      </c>
      <c r="K37" s="14">
        <v>400</v>
      </c>
      <c r="L37" s="13" t="s">
        <v>131</v>
      </c>
      <c r="M37" s="13" t="s">
        <v>147</v>
      </c>
      <c r="N37" s="11">
        <v>46874</v>
      </c>
      <c r="O37" s="11">
        <v>47422</v>
      </c>
      <c r="P37" s="13"/>
      <c r="Q37" s="11"/>
      <c r="R37" s="11"/>
      <c r="S37" s="2"/>
      <c r="T37" s="2"/>
    </row>
    <row r="38" spans="1:20" ht="13" customHeight="1">
      <c r="A38" s="5"/>
      <c r="B38">
        <v>3857</v>
      </c>
      <c r="C38" t="s">
        <v>81</v>
      </c>
      <c r="D38" s="11">
        <v>46021</v>
      </c>
      <c r="E38" s="17">
        <v>46751</v>
      </c>
      <c r="F38" s="13" t="s">
        <v>43</v>
      </c>
      <c r="G38" t="s">
        <v>44</v>
      </c>
      <c r="H38" s="13" t="s">
        <v>99</v>
      </c>
      <c r="I38" s="13" t="s">
        <v>117</v>
      </c>
      <c r="J38" s="13" t="s">
        <v>118</v>
      </c>
      <c r="K38" s="14">
        <v>19.899999999999999</v>
      </c>
      <c r="L38" s="13" t="s">
        <v>128</v>
      </c>
      <c r="M38" s="13" t="s">
        <v>55</v>
      </c>
      <c r="N38" s="11">
        <v>47453</v>
      </c>
      <c r="O38" s="11">
        <v>48549</v>
      </c>
      <c r="P38" s="13"/>
      <c r="Q38" s="11"/>
      <c r="R38" s="11"/>
      <c r="S38" s="2"/>
      <c r="T38" s="2"/>
    </row>
    <row r="39" spans="1:20" ht="13" customHeight="1">
      <c r="A39" s="5"/>
      <c r="B39">
        <v>3854</v>
      </c>
      <c r="C39" t="s">
        <v>81</v>
      </c>
      <c r="D39" s="11">
        <v>46015</v>
      </c>
      <c r="E39" s="17">
        <v>46388</v>
      </c>
      <c r="F39" s="13" t="s">
        <v>45</v>
      </c>
      <c r="G39" t="s">
        <v>32</v>
      </c>
      <c r="H39" s="13" t="s">
        <v>98</v>
      </c>
      <c r="I39" s="13" t="s">
        <v>115</v>
      </c>
      <c r="J39" s="13" t="s">
        <v>116</v>
      </c>
      <c r="K39" s="14">
        <v>40</v>
      </c>
      <c r="L39" s="13" t="s">
        <v>102</v>
      </c>
      <c r="M39" s="13" t="s">
        <v>65</v>
      </c>
      <c r="N39" s="11">
        <v>46388</v>
      </c>
      <c r="O39" s="11">
        <v>46752</v>
      </c>
      <c r="P39" s="13"/>
      <c r="Q39" s="11"/>
      <c r="R39" s="11"/>
      <c r="S39" s="2"/>
      <c r="T39" s="2"/>
    </row>
    <row r="40" spans="1:20" ht="13" customHeight="1">
      <c r="A40" s="5"/>
      <c r="B40">
        <v>3850</v>
      </c>
      <c r="C40" t="s">
        <v>82</v>
      </c>
      <c r="D40" s="11">
        <v>46001</v>
      </c>
      <c r="E40" s="17">
        <v>46366</v>
      </c>
      <c r="F40" s="13" t="s">
        <v>0</v>
      </c>
      <c r="G40" t="s">
        <v>32</v>
      </c>
      <c r="H40" s="13" t="s">
        <v>99</v>
      </c>
      <c r="I40" s="13" t="s">
        <v>117</v>
      </c>
      <c r="J40" s="13" t="s">
        <v>118</v>
      </c>
      <c r="K40" s="14">
        <v>94</v>
      </c>
      <c r="L40" s="13" t="s">
        <v>130</v>
      </c>
      <c r="M40" s="13" t="s">
        <v>66</v>
      </c>
      <c r="N40" s="11">
        <v>47150</v>
      </c>
      <c r="O40" s="11">
        <v>48214</v>
      </c>
      <c r="P40" s="13"/>
      <c r="Q40" s="11"/>
      <c r="R40" s="11"/>
      <c r="S40" s="2"/>
      <c r="T40" s="2"/>
    </row>
    <row r="41" spans="1:20" ht="13" customHeight="1">
      <c r="A41" s="5"/>
      <c r="B41">
        <v>3851</v>
      </c>
      <c r="C41" t="s">
        <v>82</v>
      </c>
      <c r="D41" s="11">
        <v>46001</v>
      </c>
      <c r="E41" s="17">
        <v>46366</v>
      </c>
      <c r="F41" s="13" t="s">
        <v>110</v>
      </c>
      <c r="G41" t="s">
        <v>32</v>
      </c>
      <c r="H41" s="13" t="s">
        <v>99</v>
      </c>
      <c r="I41" s="13" t="s">
        <v>117</v>
      </c>
      <c r="J41" s="13" t="s">
        <v>118</v>
      </c>
      <c r="K41" s="14">
        <v>80</v>
      </c>
      <c r="L41" s="13" t="s">
        <v>128</v>
      </c>
      <c r="M41" s="13" t="s">
        <v>148</v>
      </c>
      <c r="N41" s="11">
        <v>46388</v>
      </c>
      <c r="O41" s="11">
        <v>47484</v>
      </c>
      <c r="P41" s="13"/>
      <c r="Q41" s="11"/>
      <c r="R41" s="11"/>
      <c r="S41" s="2"/>
      <c r="T41" s="2"/>
    </row>
    <row r="42" spans="1:20" ht="13" customHeight="1">
      <c r="A42" s="5"/>
      <c r="B42">
        <v>738</v>
      </c>
      <c r="C42" t="s">
        <v>82</v>
      </c>
      <c r="D42" s="11">
        <v>45951</v>
      </c>
      <c r="E42" s="17">
        <v>46316</v>
      </c>
      <c r="F42" s="13" t="s">
        <v>10</v>
      </c>
      <c r="G42" t="s">
        <v>32</v>
      </c>
      <c r="H42" s="13" t="s">
        <v>99</v>
      </c>
      <c r="I42" s="13" t="s">
        <v>117</v>
      </c>
      <c r="J42" s="13" t="s">
        <v>118</v>
      </c>
      <c r="K42" s="14">
        <v>16</v>
      </c>
      <c r="L42" s="13" t="s">
        <v>136</v>
      </c>
      <c r="M42" s="13" t="s">
        <v>67</v>
      </c>
      <c r="N42" s="11">
        <v>47314</v>
      </c>
      <c r="O42" s="11">
        <v>48548</v>
      </c>
      <c r="P42" s="13"/>
      <c r="Q42" s="11"/>
      <c r="R42" s="11"/>
      <c r="S42" s="2"/>
      <c r="T42" s="2"/>
    </row>
    <row r="43" spans="1:20" ht="13" customHeight="1">
      <c r="A43" s="5"/>
      <c r="B43">
        <v>3849</v>
      </c>
      <c r="C43" t="s">
        <v>82</v>
      </c>
      <c r="D43" s="11">
        <v>45944</v>
      </c>
      <c r="E43" s="17">
        <v>46309</v>
      </c>
      <c r="F43" s="13" t="s">
        <v>46</v>
      </c>
      <c r="G43" t="s">
        <v>32</v>
      </c>
      <c r="H43" s="13" t="s">
        <v>122</v>
      </c>
      <c r="I43" s="13" t="s">
        <v>123</v>
      </c>
      <c r="J43" s="13" t="s">
        <v>124</v>
      </c>
      <c r="K43" s="14">
        <v>200</v>
      </c>
      <c r="L43" s="13" t="s">
        <v>131</v>
      </c>
      <c r="M43" s="13" t="s">
        <v>147</v>
      </c>
      <c r="N43" s="11">
        <v>46387</v>
      </c>
      <c r="O43" s="11">
        <v>47118</v>
      </c>
      <c r="P43" s="13"/>
      <c r="Q43" s="11"/>
      <c r="R43" s="11"/>
      <c r="S43" s="2"/>
      <c r="T43" s="2"/>
    </row>
    <row r="44" spans="1:20" ht="13" customHeight="1">
      <c r="A44" s="5"/>
      <c r="B44">
        <v>3847</v>
      </c>
      <c r="C44" t="s">
        <v>82</v>
      </c>
      <c r="D44" s="11">
        <v>45923</v>
      </c>
      <c r="E44" s="17">
        <v>46388</v>
      </c>
      <c r="F44" s="13" t="s">
        <v>47</v>
      </c>
      <c r="G44" t="s">
        <v>44</v>
      </c>
      <c r="H44" s="13" t="s">
        <v>98</v>
      </c>
      <c r="I44" s="13" t="s">
        <v>115</v>
      </c>
      <c r="J44" s="13" t="s">
        <v>116</v>
      </c>
      <c r="K44" s="14">
        <v>19.899999999999999</v>
      </c>
      <c r="L44" s="13" t="s">
        <v>137</v>
      </c>
      <c r="M44" s="13" t="s">
        <v>68</v>
      </c>
      <c r="N44" s="11">
        <v>46388</v>
      </c>
      <c r="O44" s="11">
        <v>46752</v>
      </c>
      <c r="P44" s="13"/>
      <c r="Q44" s="11"/>
      <c r="R44" s="11"/>
      <c r="S44" s="2"/>
      <c r="T44" s="2"/>
    </row>
    <row r="45" spans="1:20" ht="13" customHeight="1">
      <c r="A45" s="5"/>
      <c r="B45">
        <v>3844</v>
      </c>
      <c r="C45" t="s">
        <v>82</v>
      </c>
      <c r="D45" s="11">
        <v>45922</v>
      </c>
      <c r="E45" s="17">
        <v>46652</v>
      </c>
      <c r="F45" s="13" t="s">
        <v>48</v>
      </c>
      <c r="G45" t="s">
        <v>44</v>
      </c>
      <c r="H45" s="13" t="s">
        <v>99</v>
      </c>
      <c r="I45" s="13" t="s">
        <v>117</v>
      </c>
      <c r="J45" s="13" t="s">
        <v>118</v>
      </c>
      <c r="K45" s="14">
        <v>33.24</v>
      </c>
      <c r="L45" s="13" t="s">
        <v>132</v>
      </c>
      <c r="M45" s="13" t="s">
        <v>149</v>
      </c>
      <c r="N45" s="11">
        <v>46753</v>
      </c>
      <c r="O45" s="11">
        <v>47848</v>
      </c>
      <c r="P45" s="13"/>
      <c r="Q45" s="11"/>
      <c r="R45" s="11"/>
      <c r="S45" s="2"/>
      <c r="T45" s="2"/>
    </row>
    <row r="46" spans="1:20" ht="13" customHeight="1">
      <c r="A46" s="5"/>
      <c r="B46">
        <v>3845</v>
      </c>
      <c r="C46" t="s">
        <v>82</v>
      </c>
      <c r="D46" s="11">
        <v>45922</v>
      </c>
      <c r="E46" s="17">
        <v>46539</v>
      </c>
      <c r="F46" s="13" t="s">
        <v>49</v>
      </c>
      <c r="G46" t="s">
        <v>44</v>
      </c>
      <c r="H46" s="13" t="s">
        <v>99</v>
      </c>
      <c r="I46" s="13" t="s">
        <v>117</v>
      </c>
      <c r="J46" s="13" t="s">
        <v>118</v>
      </c>
      <c r="K46" s="14">
        <v>5.4</v>
      </c>
      <c r="L46" s="13" t="s">
        <v>132</v>
      </c>
      <c r="M46" s="13" t="s">
        <v>69</v>
      </c>
      <c r="N46" s="11">
        <v>46539</v>
      </c>
      <c r="O46" s="11">
        <v>47483</v>
      </c>
      <c r="P46" s="13"/>
      <c r="Q46" s="11"/>
      <c r="R46" s="11"/>
      <c r="S46" s="2"/>
      <c r="T46" s="2"/>
    </row>
    <row r="47" spans="1:20" ht="13" customHeight="1">
      <c r="A47" s="5"/>
      <c r="B47">
        <v>3846</v>
      </c>
      <c r="C47" t="s">
        <v>82</v>
      </c>
      <c r="D47" s="11">
        <v>45922</v>
      </c>
      <c r="E47" s="17">
        <v>46539</v>
      </c>
      <c r="F47" s="13" t="s">
        <v>50</v>
      </c>
      <c r="G47" t="s">
        <v>44</v>
      </c>
      <c r="H47" s="13" t="s">
        <v>99</v>
      </c>
      <c r="I47" s="13" t="s">
        <v>117</v>
      </c>
      <c r="J47" s="13" t="s">
        <v>118</v>
      </c>
      <c r="K47" s="14">
        <v>6.3</v>
      </c>
      <c r="L47" s="13" t="s">
        <v>132</v>
      </c>
      <c r="M47" s="13" t="s">
        <v>69</v>
      </c>
      <c r="N47" s="11">
        <v>46539</v>
      </c>
      <c r="O47" s="11">
        <v>47483</v>
      </c>
      <c r="P47" s="13"/>
      <c r="Q47" s="11"/>
      <c r="R47" s="11"/>
      <c r="S47" s="2"/>
      <c r="T47" s="2"/>
    </row>
    <row r="48" spans="1:20" ht="13" customHeight="1">
      <c r="A48" s="5"/>
      <c r="B48">
        <v>3841</v>
      </c>
      <c r="C48" t="s">
        <v>82</v>
      </c>
      <c r="D48" s="11">
        <v>45917</v>
      </c>
      <c r="E48" s="17">
        <v>46539</v>
      </c>
      <c r="F48" s="13" t="s">
        <v>1</v>
      </c>
      <c r="G48" t="s">
        <v>44</v>
      </c>
      <c r="H48" s="13" t="s">
        <v>99</v>
      </c>
      <c r="I48" s="13" t="s">
        <v>117</v>
      </c>
      <c r="J48" s="13" t="s">
        <v>118</v>
      </c>
      <c r="K48" s="14">
        <v>21.3</v>
      </c>
      <c r="L48" s="13" t="s">
        <v>132</v>
      </c>
      <c r="M48" s="13" t="s">
        <v>69</v>
      </c>
      <c r="N48" s="11">
        <v>46539</v>
      </c>
      <c r="O48" s="11">
        <v>47483</v>
      </c>
      <c r="P48" s="13"/>
      <c r="Q48" s="11"/>
      <c r="R48" s="11"/>
      <c r="S48" s="2"/>
      <c r="T48" s="2"/>
    </row>
    <row r="49" spans="1:20" ht="13" customHeight="1">
      <c r="A49" s="5"/>
      <c r="B49">
        <v>3830</v>
      </c>
      <c r="C49" t="s">
        <v>82</v>
      </c>
      <c r="D49" s="11">
        <v>45861</v>
      </c>
      <c r="E49" s="17">
        <v>46388</v>
      </c>
      <c r="F49" s="13" t="s">
        <v>51</v>
      </c>
      <c r="G49" t="s">
        <v>44</v>
      </c>
      <c r="H49" s="13" t="s">
        <v>98</v>
      </c>
      <c r="I49" s="13" t="s">
        <v>115</v>
      </c>
      <c r="J49" s="13" t="s">
        <v>116</v>
      </c>
      <c r="K49" s="14">
        <v>9.9</v>
      </c>
      <c r="L49" s="13" t="s">
        <v>134</v>
      </c>
      <c r="M49" s="13" t="s">
        <v>57</v>
      </c>
      <c r="N49" s="11">
        <v>46388</v>
      </c>
      <c r="O49" s="11">
        <v>46752</v>
      </c>
      <c r="P49" s="13"/>
      <c r="Q49" s="11"/>
      <c r="R49" s="11"/>
      <c r="S49" s="2"/>
      <c r="T49" s="2"/>
    </row>
    <row r="50" spans="1:20" ht="13" customHeight="1">
      <c r="A50" s="5"/>
      <c r="B50">
        <v>1666</v>
      </c>
      <c r="C50" t="s">
        <v>82</v>
      </c>
      <c r="D50" s="11">
        <v>45763</v>
      </c>
      <c r="E50" s="17">
        <v>46493</v>
      </c>
      <c r="F50" s="13" t="s">
        <v>9</v>
      </c>
      <c r="G50" t="s">
        <v>44</v>
      </c>
      <c r="H50" s="13" t="s">
        <v>119</v>
      </c>
      <c r="I50" s="13" t="s">
        <v>120</v>
      </c>
      <c r="J50" s="13" t="s">
        <v>125</v>
      </c>
      <c r="K50" s="14">
        <v>200</v>
      </c>
      <c r="L50" s="13" t="s">
        <v>138</v>
      </c>
      <c r="M50" s="13" t="s">
        <v>70</v>
      </c>
      <c r="N50" s="11">
        <v>48549</v>
      </c>
      <c r="O50" s="11">
        <v>48731</v>
      </c>
      <c r="P50" s="13"/>
      <c r="Q50" s="11"/>
      <c r="R50" s="11"/>
      <c r="S50" s="2"/>
      <c r="T50" s="2"/>
    </row>
    <row r="51" spans="1:20" ht="13" customHeight="1">
      <c r="A51" s="5"/>
      <c r="B51">
        <v>3808</v>
      </c>
      <c r="C51" t="s">
        <v>82</v>
      </c>
      <c r="D51" s="11">
        <v>45742</v>
      </c>
      <c r="E51" s="17">
        <v>46472</v>
      </c>
      <c r="F51" s="13" t="s">
        <v>3</v>
      </c>
      <c r="G51" t="s">
        <v>44</v>
      </c>
      <c r="H51" s="13" t="s">
        <v>119</v>
      </c>
      <c r="I51" s="13" t="s">
        <v>120</v>
      </c>
      <c r="J51" s="13" t="s">
        <v>121</v>
      </c>
      <c r="K51" s="14">
        <v>150</v>
      </c>
      <c r="L51" s="13" t="s">
        <v>139</v>
      </c>
      <c r="M51" s="13" t="s">
        <v>150</v>
      </c>
      <c r="N51" s="11">
        <v>46752</v>
      </c>
      <c r="O51" s="11">
        <v>47483</v>
      </c>
      <c r="P51" s="13"/>
      <c r="Q51" s="11"/>
      <c r="R51" s="11"/>
      <c r="S51" s="2"/>
      <c r="T51" s="2"/>
    </row>
    <row r="52" spans="1:20" ht="13" customHeight="1">
      <c r="A52" s="5"/>
      <c r="B52">
        <v>1511</v>
      </c>
      <c r="C52" t="s">
        <v>82</v>
      </c>
      <c r="D52" s="11">
        <v>45723</v>
      </c>
      <c r="E52" s="17">
        <v>46296</v>
      </c>
      <c r="F52" s="13" t="s">
        <v>111</v>
      </c>
      <c r="G52" t="s">
        <v>44</v>
      </c>
      <c r="H52" s="13" t="s">
        <v>99</v>
      </c>
      <c r="I52" s="13" t="s">
        <v>117</v>
      </c>
      <c r="J52" s="13" t="s">
        <v>118</v>
      </c>
      <c r="K52" s="14">
        <v>19.95</v>
      </c>
      <c r="L52" s="13" t="s">
        <v>5</v>
      </c>
      <c r="M52" s="13" t="s">
        <v>71</v>
      </c>
      <c r="N52" s="11">
        <v>46296</v>
      </c>
      <c r="O52" s="11">
        <v>47362</v>
      </c>
      <c r="P52" s="13"/>
      <c r="Q52" s="11"/>
      <c r="R52" s="11"/>
      <c r="S52" s="2"/>
      <c r="T52" s="2"/>
    </row>
    <row r="53" spans="1:20" ht="13" customHeight="1">
      <c r="A53" s="5"/>
      <c r="B53">
        <v>3793</v>
      </c>
      <c r="C53" t="s">
        <v>82</v>
      </c>
      <c r="D53" s="11">
        <v>45700</v>
      </c>
      <c r="E53" s="17">
        <v>46388</v>
      </c>
      <c r="F53" s="13" t="s">
        <v>6</v>
      </c>
      <c r="G53" t="s">
        <v>44</v>
      </c>
      <c r="H53" s="13" t="s">
        <v>98</v>
      </c>
      <c r="I53" s="13" t="s">
        <v>115</v>
      </c>
      <c r="J53" s="13" t="s">
        <v>116</v>
      </c>
      <c r="K53" s="14">
        <v>40</v>
      </c>
      <c r="L53" s="13" t="s">
        <v>5</v>
      </c>
      <c r="M53" s="13" t="s">
        <v>5</v>
      </c>
      <c r="N53" s="11">
        <v>46388</v>
      </c>
      <c r="O53" s="11">
        <v>46752</v>
      </c>
      <c r="P53" s="13"/>
      <c r="Q53" s="11"/>
      <c r="R53" s="11"/>
      <c r="S53" s="2"/>
      <c r="T53" s="2"/>
    </row>
    <row r="54" spans="1:20" ht="13" customHeight="1">
      <c r="A54" s="5"/>
      <c r="B54">
        <v>3798</v>
      </c>
      <c r="C54" t="s">
        <v>82</v>
      </c>
      <c r="D54" s="11">
        <v>45679</v>
      </c>
      <c r="E54" s="17">
        <v>46388</v>
      </c>
      <c r="F54" s="13" t="s">
        <v>4</v>
      </c>
      <c r="G54" t="s">
        <v>44</v>
      </c>
      <c r="H54" s="13" t="s">
        <v>98</v>
      </c>
      <c r="I54" s="13" t="s">
        <v>115</v>
      </c>
      <c r="J54" s="13" t="s">
        <v>116</v>
      </c>
      <c r="K54" s="14">
        <v>19.899999999999999</v>
      </c>
      <c r="L54" s="13" t="s">
        <v>102</v>
      </c>
      <c r="M54" s="13" t="s">
        <v>58</v>
      </c>
      <c r="N54" s="11">
        <v>46388</v>
      </c>
      <c r="O54" s="11">
        <v>46752</v>
      </c>
      <c r="P54" s="13"/>
      <c r="Q54" s="11"/>
      <c r="R54" s="11"/>
      <c r="S54" s="2"/>
      <c r="T54" s="2"/>
    </row>
    <row r="55" spans="1:20" ht="13" customHeight="1">
      <c r="A55" s="5"/>
      <c r="B55">
        <v>3771</v>
      </c>
      <c r="C55" t="s">
        <v>82</v>
      </c>
      <c r="D55" s="11">
        <v>45581</v>
      </c>
      <c r="E55" s="17">
        <v>46311</v>
      </c>
      <c r="F55" s="13" t="s">
        <v>7</v>
      </c>
      <c r="G55" t="s">
        <v>44</v>
      </c>
      <c r="H55" s="13" t="s">
        <v>98</v>
      </c>
      <c r="I55" s="13" t="s">
        <v>115</v>
      </c>
      <c r="J55" s="13" t="s">
        <v>116</v>
      </c>
      <c r="K55" s="14">
        <v>150</v>
      </c>
      <c r="L55" s="13" t="s">
        <v>80</v>
      </c>
      <c r="M55" s="13" t="s">
        <v>60</v>
      </c>
      <c r="N55" s="11">
        <v>46419</v>
      </c>
      <c r="O55" s="11">
        <v>46934</v>
      </c>
      <c r="P55" s="13"/>
      <c r="Q55" s="11"/>
      <c r="R55" s="11"/>
      <c r="S55" s="2"/>
      <c r="T55" s="2"/>
    </row>
    <row r="56" spans="1:20" ht="14.5" customHeight="1">
      <c r="B56" s="4">
        <f>SUBTOTAL(103,REPORTE_ENERO3[Codigo Proyecto])</f>
        <v>52</v>
      </c>
      <c r="C56" s="4"/>
      <c r="D56" s="10"/>
      <c r="E56" s="10"/>
      <c r="F56" s="4"/>
      <c r="G56" s="4"/>
      <c r="H56" s="4"/>
      <c r="I56" s="4"/>
      <c r="J56" s="4"/>
      <c r="K56" s="4">
        <f>SUBTOTAL(103,REPORTE_ENERO3[Capacidad '[MW']])</f>
        <v>52</v>
      </c>
      <c r="L56" s="4"/>
      <c r="M56" s="4"/>
      <c r="N56" s="4"/>
      <c r="O56" s="4"/>
      <c r="P56" s="4"/>
      <c r="Q56" s="4"/>
      <c r="R56" s="4"/>
      <c r="S56" s="4"/>
      <c r="T56" s="4"/>
    </row>
  </sheetData>
  <sheetProtection algorithmName="SHA-512" hashValue="LP+Qtp1BFgQ2N2rEIvIUf7JgSm21SS1pDyN8zxomheQ+ToV4tO55EXsT0H84TnmioPZYNoZFgb/hfvZk8SEU9Q==" saltValue="wjCN6H4gO+W0J8Yee6j1Fg==" spinCount="100000" sheet="1" sort="0" autoFilter="0"/>
  <mergeCells count="2">
    <mergeCell ref="C1:O1"/>
    <mergeCell ref="B2:O2"/>
  </mergeCells>
  <phoneticPr fontId="4" type="noConversion"/>
  <pageMargins left="0.7" right="0.7" top="0.75" bottom="0.75" header="0.3" footer="0.3"/>
  <pageSetup paperSize="9" orientation="portrait" horizontalDpi="0" verticalDpi="0" r:id="rId1"/>
  <ignoredErrors>
    <ignoredError sqref="L3" calculatedColumn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Camila Pinilla Granados</dc:creator>
  <cp:lastModifiedBy>María Camila Pinilla Granados</cp:lastModifiedBy>
  <dcterms:created xsi:type="dcterms:W3CDTF">2026-02-09T17:34:06Z</dcterms:created>
  <dcterms:modified xsi:type="dcterms:W3CDTF">2026-10-05T21:28:41Z</dcterms:modified>
</cp:coreProperties>
</file>